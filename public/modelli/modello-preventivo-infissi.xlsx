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ivo" sheetId="1" state="visible" r:id="rId1"/>
    <sheet xmlns:r="http://schemas.openxmlformats.org/officeDocument/2006/relationships" name="Come si usa" sheetId="2" state="visible" r:id="rId2"/>
  </sheets>
  <definedNames>
    <definedName name="_xlnm.Print_Area" localSheetId="0">'Preventivo'!$A$1:$L$45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€&quot;"/>
    <numFmt numFmtId="166" formatCode="0.00 &quot;m²&quot;"/>
  </numFmts>
  <fonts count="1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color rgb="00475569"/>
      <sz val="9"/>
    </font>
    <font>
      <name val="Calibri"/>
      <b val="1"/>
      <color rgb="001A365D"/>
      <sz val="18"/>
    </font>
    <font>
      <name val="Calibri"/>
      <b val="1"/>
      <color rgb="000F172A"/>
      <sz val="10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334155"/>
      <sz val="9"/>
    </font>
    <font>
      <name val="Calibri"/>
      <color rgb="0094A3B8"/>
      <sz val="8"/>
    </font>
    <font>
      <name val="Calibri"/>
      <b val="1"/>
      <color rgb="001A365D"/>
      <sz val="12"/>
    </font>
    <font>
      <name val="Calibri"/>
      <color rgb="00334155"/>
      <sz val="11"/>
    </font>
    <font>
      <name val="Calibri"/>
      <b val="1"/>
      <color rgb="001A365D"/>
      <sz val="11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2" fontId="6" fillId="0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2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  <xf numFmtId="9" fontId="4" fillId="4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 wrapText="1"/>
    </xf>
    <xf numFmtId="165" fontId="8" fillId="2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11" customWidth="1" min="4" max="4"/>
    <col width="11" customWidth="1" min="5" max="5"/>
    <col width="9" customWidth="1" min="6" max="6"/>
    <col width="7" customWidth="1" min="7" max="7"/>
    <col width="9" customWidth="1" min="8" max="8"/>
    <col width="22" customWidth="1" min="9" max="9"/>
    <col width="20" customWidth="1" min="10" max="10"/>
    <col width="13" customWidth="1" min="11" max="11"/>
    <col width="14" customWidth="1" min="12" max="12"/>
  </cols>
  <sheetData>
    <row r="1">
      <c r="A1" s="1" t="inlineStr">
        <is>
          <t>LA TUA DITTA S.R.L.</t>
        </is>
      </c>
      <c r="I1" s="2" t="inlineStr">
        <is>
          <t>PREVENTIVO</t>
        </is>
      </c>
    </row>
    <row r="2">
      <c r="A2" s="3" t="inlineStr">
        <is>
          <t>Via, numero civico - CAP Città (Provincia)</t>
        </is>
      </c>
      <c r="I2" s="4" t="inlineStr">
        <is>
          <t>N. preventivo</t>
        </is>
      </c>
      <c r="K2" s="5" t="inlineStr">
        <is>
          <t>1/2026</t>
        </is>
      </c>
    </row>
    <row r="3">
      <c r="A3" s="3" t="inlineStr">
        <is>
          <t>P.IVA 00000000000 - Tel. 000 0000000 - email@tuaditta.it</t>
        </is>
      </c>
      <c r="I3" s="4" t="inlineStr">
        <is>
          <t>Data</t>
        </is>
      </c>
      <c r="K3" s="6" t="n"/>
    </row>
    <row r="4">
      <c r="I4" s="4" t="inlineStr">
        <is>
          <t>Validità offerta</t>
        </is>
      </c>
      <c r="K4" s="5" t="inlineStr">
        <is>
          <t>30 giorni</t>
        </is>
      </c>
    </row>
    <row r="5">
      <c r="A5" s="7" t="inlineStr">
        <is>
          <t>CLIENTE</t>
        </is>
      </c>
      <c r="G5" s="7" t="inlineStr">
        <is>
          <t>CANTIERE / LUOGO DI POSA</t>
        </is>
      </c>
    </row>
    <row r="6">
      <c r="A6" s="8" t="inlineStr">
        <is>
          <t>Nome e cognome / Ragione sociale:</t>
        </is>
      </c>
      <c r="B6" s="9" t="n"/>
      <c r="C6" s="9" t="n"/>
      <c r="D6" s="9" t="n"/>
      <c r="E6" s="9" t="n"/>
      <c r="F6" s="9" t="n"/>
      <c r="G6" s="8" t="inlineStr">
        <is>
          <t>Indirizzo:</t>
        </is>
      </c>
      <c r="H6" s="9" t="n"/>
      <c r="I6" s="9" t="n"/>
      <c r="J6" s="9" t="n"/>
      <c r="K6" s="9" t="n"/>
      <c r="L6" s="9" t="n"/>
    </row>
    <row r="7">
      <c r="A7" s="8" t="inlineStr">
        <is>
          <t>Indirizzo:</t>
        </is>
      </c>
      <c r="B7" s="9" t="n"/>
      <c r="C7" s="9" t="n"/>
      <c r="D7" s="9" t="n"/>
      <c r="E7" s="9" t="n"/>
      <c r="F7" s="9" t="n"/>
      <c r="G7" s="8" t="inlineStr">
        <is>
          <t>Piano / interno:</t>
        </is>
      </c>
      <c r="H7" s="9" t="n"/>
      <c r="I7" s="9" t="n"/>
      <c r="J7" s="9" t="n"/>
      <c r="K7" s="9" t="n"/>
      <c r="L7" s="9" t="n"/>
    </row>
    <row r="8">
      <c r="A8" s="8" t="inlineStr">
        <is>
          <t>Telefono / email:</t>
        </is>
      </c>
      <c r="B8" s="9" t="n"/>
      <c r="C8" s="9" t="n"/>
      <c r="D8" s="9" t="n"/>
      <c r="E8" s="9" t="n"/>
      <c r="F8" s="9" t="n"/>
      <c r="G8" s="8" t="inlineStr">
        <is>
          <t>Riferimento:</t>
        </is>
      </c>
      <c r="H8" s="9" t="n"/>
      <c r="I8" s="9" t="n"/>
      <c r="J8" s="9" t="n"/>
      <c r="K8" s="9" t="n"/>
      <c r="L8" s="9" t="n"/>
    </row>
    <row r="10" ht="30" customHeight="1">
      <c r="A10" s="10" t="inlineStr">
        <is>
          <t>Pos.</t>
        </is>
      </c>
      <c r="B10" s="10" t="inlineStr">
        <is>
          <t>Tipologia</t>
        </is>
      </c>
      <c r="C10" s="10" t="inlineStr">
        <is>
          <t>Ante</t>
        </is>
      </c>
      <c r="D10" s="10" t="inlineStr">
        <is>
          <t>Larghezza
(mm)</t>
        </is>
      </c>
      <c r="E10" s="10" t="inlineStr">
        <is>
          <t>Altezza
(mm)</t>
        </is>
      </c>
      <c r="F10" s="10" t="inlineStr">
        <is>
          <t>m² cad.</t>
        </is>
      </c>
      <c r="G10" s="10" t="inlineStr">
        <is>
          <t>Q.tà</t>
        </is>
      </c>
      <c r="H10" s="10" t="inlineStr">
        <is>
          <t>m² tot.</t>
        </is>
      </c>
      <c r="I10" s="10" t="inlineStr">
        <is>
          <t>Profilo e colore</t>
        </is>
      </c>
      <c r="J10" s="10" t="inlineStr">
        <is>
          <t>Vetro</t>
        </is>
      </c>
      <c r="K10" s="10" t="inlineStr">
        <is>
          <t>Prezzo cad. (€)</t>
        </is>
      </c>
      <c r="L10" s="10" t="inlineStr">
        <is>
          <t>Totale (€)</t>
        </is>
      </c>
    </row>
    <row r="11" ht="20" customHeight="1">
      <c r="A11" s="11" t="n">
        <v>1</v>
      </c>
      <c r="B11" s="12" t="inlineStr">
        <is>
          <t>Finestra battente</t>
        </is>
      </c>
      <c r="C11" s="11" t="n">
        <v>2</v>
      </c>
      <c r="D11" s="11" t="n">
        <v>1200</v>
      </c>
      <c r="E11" s="11" t="n">
        <v>1450</v>
      </c>
      <c r="F11" s="13">
        <f>IF(AND(D11&gt;0,E11&gt;0),D11*E11/1000000,"")</f>
        <v/>
      </c>
      <c r="G11" s="11" t="n">
        <v>3</v>
      </c>
      <c r="H11" s="13">
        <f>IF(AND(F11&lt;&gt;"",G11&gt;0),F11*G11,"")</f>
        <v/>
      </c>
      <c r="I11" s="12" t="inlineStr">
        <is>
          <t>PVC 76 mm - Bianco</t>
        </is>
      </c>
      <c r="J11" s="12" t="inlineStr">
        <is>
          <t>4/16/33.1 basso emissivo</t>
        </is>
      </c>
      <c r="K11" s="14" t="n">
        <v>520</v>
      </c>
      <c r="L11" s="14">
        <f>IF(AND(G11&gt;0,K11&gt;0),G11*K11,"")</f>
        <v/>
      </c>
    </row>
    <row r="12" ht="20" customHeight="1">
      <c r="A12" s="15" t="n">
        <v>2</v>
      </c>
      <c r="B12" s="16" t="inlineStr">
        <is>
          <t>Portafinestra battente</t>
        </is>
      </c>
      <c r="C12" s="15" t="n">
        <v>2</v>
      </c>
      <c r="D12" s="15" t="n">
        <v>1400</v>
      </c>
      <c r="E12" s="15" t="n">
        <v>2300</v>
      </c>
      <c r="F12" s="17">
        <f>IF(AND(D12&gt;0,E12&gt;0),D12*E12/1000000,"")</f>
        <v/>
      </c>
      <c r="G12" s="15" t="n">
        <v>1</v>
      </c>
      <c r="H12" s="17">
        <f>IF(AND(F12&lt;&gt;"",G12&gt;0),F12*G12,"")</f>
        <v/>
      </c>
      <c r="I12" s="16" t="inlineStr">
        <is>
          <t>PVC 76 mm - Bianco</t>
        </is>
      </c>
      <c r="J12" s="16" t="inlineStr">
        <is>
          <t>33.1/16/33.1 basso emissivo</t>
        </is>
      </c>
      <c r="K12" s="18" t="n">
        <v>890</v>
      </c>
      <c r="L12" s="18">
        <f>IF(AND(G12&gt;0,K12&gt;0),G12*K12,"")</f>
        <v/>
      </c>
    </row>
    <row r="13" ht="20" customHeight="1">
      <c r="A13" s="11" t="n">
        <v>3</v>
      </c>
      <c r="B13" s="12" t="n"/>
      <c r="C13" s="11" t="n"/>
      <c r="D13" s="11" t="n"/>
      <c r="E13" s="11" t="n"/>
      <c r="F13" s="13">
        <f>IF(AND(D13&gt;0,E13&gt;0),D13*E13/1000000,"")</f>
        <v/>
      </c>
      <c r="G13" s="11" t="n"/>
      <c r="H13" s="13">
        <f>IF(AND(F13&lt;&gt;"",G13&gt;0),F13*G13,"")</f>
        <v/>
      </c>
      <c r="I13" s="12" t="n"/>
      <c r="J13" s="12" t="n"/>
      <c r="K13" s="14" t="n"/>
      <c r="L13" s="14">
        <f>IF(AND(G13&gt;0,K13&gt;0),G13*K13,"")</f>
        <v/>
      </c>
    </row>
    <row r="14" ht="20" customHeight="1">
      <c r="A14" s="15" t="n">
        <v>4</v>
      </c>
      <c r="B14" s="16" t="n"/>
      <c r="C14" s="15" t="n"/>
      <c r="D14" s="15" t="n"/>
      <c r="E14" s="15" t="n"/>
      <c r="F14" s="17">
        <f>IF(AND(D14&gt;0,E14&gt;0),D14*E14/1000000,"")</f>
        <v/>
      </c>
      <c r="G14" s="15" t="n"/>
      <c r="H14" s="17">
        <f>IF(AND(F14&lt;&gt;"",G14&gt;0),F14*G14,"")</f>
        <v/>
      </c>
      <c r="I14" s="16" t="n"/>
      <c r="J14" s="16" t="n"/>
      <c r="K14" s="18" t="n"/>
      <c r="L14" s="18">
        <f>IF(AND(G14&gt;0,K14&gt;0),G14*K14,"")</f>
        <v/>
      </c>
    </row>
    <row r="15" ht="20" customHeight="1">
      <c r="A15" s="11" t="n">
        <v>5</v>
      </c>
      <c r="B15" s="12" t="n"/>
      <c r="C15" s="11" t="n"/>
      <c r="D15" s="11" t="n"/>
      <c r="E15" s="11" t="n"/>
      <c r="F15" s="13">
        <f>IF(AND(D15&gt;0,E15&gt;0),D15*E15/1000000,"")</f>
        <v/>
      </c>
      <c r="G15" s="11" t="n"/>
      <c r="H15" s="13">
        <f>IF(AND(F15&lt;&gt;"",G15&gt;0),F15*G15,"")</f>
        <v/>
      </c>
      <c r="I15" s="12" t="n"/>
      <c r="J15" s="12" t="n"/>
      <c r="K15" s="14" t="n"/>
      <c r="L15" s="14">
        <f>IF(AND(G15&gt;0,K15&gt;0),G15*K15,"")</f>
        <v/>
      </c>
    </row>
    <row r="16" ht="20" customHeight="1">
      <c r="A16" s="15" t="n">
        <v>6</v>
      </c>
      <c r="B16" s="16" t="n"/>
      <c r="C16" s="15" t="n"/>
      <c r="D16" s="15" t="n"/>
      <c r="E16" s="15" t="n"/>
      <c r="F16" s="17">
        <f>IF(AND(D16&gt;0,E16&gt;0),D16*E16/1000000,"")</f>
        <v/>
      </c>
      <c r="G16" s="15" t="n"/>
      <c r="H16" s="17">
        <f>IF(AND(F16&lt;&gt;"",G16&gt;0),F16*G16,"")</f>
        <v/>
      </c>
      <c r="I16" s="16" t="n"/>
      <c r="J16" s="16" t="n"/>
      <c r="K16" s="18" t="n"/>
      <c r="L16" s="18">
        <f>IF(AND(G16&gt;0,K16&gt;0),G16*K16,"")</f>
        <v/>
      </c>
    </row>
    <row r="17" ht="20" customHeight="1">
      <c r="A17" s="11" t="n">
        <v>7</v>
      </c>
      <c r="B17" s="12" t="n"/>
      <c r="C17" s="11" t="n"/>
      <c r="D17" s="11" t="n"/>
      <c r="E17" s="11" t="n"/>
      <c r="F17" s="13">
        <f>IF(AND(D17&gt;0,E17&gt;0),D17*E17/1000000,"")</f>
        <v/>
      </c>
      <c r="G17" s="11" t="n"/>
      <c r="H17" s="13">
        <f>IF(AND(F17&lt;&gt;"",G17&gt;0),F17*G17,"")</f>
        <v/>
      </c>
      <c r="I17" s="12" t="n"/>
      <c r="J17" s="12" t="n"/>
      <c r="K17" s="14" t="n"/>
      <c r="L17" s="14">
        <f>IF(AND(G17&gt;0,K17&gt;0),G17*K17,"")</f>
        <v/>
      </c>
    </row>
    <row r="18" ht="20" customHeight="1">
      <c r="A18" s="15" t="n">
        <v>8</v>
      </c>
      <c r="B18" s="16" t="n"/>
      <c r="C18" s="15" t="n"/>
      <c r="D18" s="15" t="n"/>
      <c r="E18" s="15" t="n"/>
      <c r="F18" s="17">
        <f>IF(AND(D18&gt;0,E18&gt;0),D18*E18/1000000,"")</f>
        <v/>
      </c>
      <c r="G18" s="15" t="n"/>
      <c r="H18" s="17">
        <f>IF(AND(F18&lt;&gt;"",G18&gt;0),F18*G18,"")</f>
        <v/>
      </c>
      <c r="I18" s="16" t="n"/>
      <c r="J18" s="16" t="n"/>
      <c r="K18" s="18" t="n"/>
      <c r="L18" s="18">
        <f>IF(AND(G18&gt;0,K18&gt;0),G18*K18,"")</f>
        <v/>
      </c>
    </row>
    <row r="19" ht="20" customHeight="1">
      <c r="A19" s="11" t="n">
        <v>9</v>
      </c>
      <c r="B19" s="12" t="n"/>
      <c r="C19" s="11" t="n"/>
      <c r="D19" s="11" t="n"/>
      <c r="E19" s="11" t="n"/>
      <c r="F19" s="13">
        <f>IF(AND(D19&gt;0,E19&gt;0),D19*E19/1000000,"")</f>
        <v/>
      </c>
      <c r="G19" s="11" t="n"/>
      <c r="H19" s="13">
        <f>IF(AND(F19&lt;&gt;"",G19&gt;0),F19*G19,"")</f>
        <v/>
      </c>
      <c r="I19" s="12" t="n"/>
      <c r="J19" s="12" t="n"/>
      <c r="K19" s="14" t="n"/>
      <c r="L19" s="14">
        <f>IF(AND(G19&gt;0,K19&gt;0),G19*K19,"")</f>
        <v/>
      </c>
    </row>
    <row r="20" ht="20" customHeight="1">
      <c r="A20" s="15" t="n">
        <v>10</v>
      </c>
      <c r="B20" s="16" t="n"/>
      <c r="C20" s="15" t="n"/>
      <c r="D20" s="15" t="n"/>
      <c r="E20" s="15" t="n"/>
      <c r="F20" s="17">
        <f>IF(AND(D20&gt;0,E20&gt;0),D20*E20/1000000,"")</f>
        <v/>
      </c>
      <c r="G20" s="15" t="n"/>
      <c r="H20" s="17">
        <f>IF(AND(F20&lt;&gt;"",G20&gt;0),F20*G20,"")</f>
        <v/>
      </c>
      <c r="I20" s="16" t="n"/>
      <c r="J20" s="16" t="n"/>
      <c r="K20" s="18" t="n"/>
      <c r="L20" s="18">
        <f>IF(AND(G20&gt;0,K20&gt;0),G20*K20,"")</f>
        <v/>
      </c>
    </row>
    <row r="21" ht="20" customHeight="1">
      <c r="A21" s="11" t="n">
        <v>11</v>
      </c>
      <c r="B21" s="12" t="n"/>
      <c r="C21" s="11" t="n"/>
      <c r="D21" s="11" t="n"/>
      <c r="E21" s="11" t="n"/>
      <c r="F21" s="13">
        <f>IF(AND(D21&gt;0,E21&gt;0),D21*E21/1000000,"")</f>
        <v/>
      </c>
      <c r="G21" s="11" t="n"/>
      <c r="H21" s="13">
        <f>IF(AND(F21&lt;&gt;"",G21&gt;0),F21*G21,"")</f>
        <v/>
      </c>
      <c r="I21" s="12" t="n"/>
      <c r="J21" s="12" t="n"/>
      <c r="K21" s="14" t="n"/>
      <c r="L21" s="14">
        <f>IF(AND(G21&gt;0,K21&gt;0),G21*K21,"")</f>
        <v/>
      </c>
    </row>
    <row r="22" ht="20" customHeight="1">
      <c r="A22" s="15" t="n">
        <v>12</v>
      </c>
      <c r="B22" s="16" t="n"/>
      <c r="C22" s="15" t="n"/>
      <c r="D22" s="15" t="n"/>
      <c r="E22" s="15" t="n"/>
      <c r="F22" s="17">
        <f>IF(AND(D22&gt;0,E22&gt;0),D22*E22/1000000,"")</f>
        <v/>
      </c>
      <c r="G22" s="15" t="n"/>
      <c r="H22" s="17">
        <f>IF(AND(F22&lt;&gt;"",G22&gt;0),F22*G22,"")</f>
        <v/>
      </c>
      <c r="I22" s="16" t="n"/>
      <c r="J22" s="16" t="n"/>
      <c r="K22" s="18" t="n"/>
      <c r="L22" s="18">
        <f>IF(AND(G22&gt;0,K22&gt;0),G22*K22,"")</f>
        <v/>
      </c>
    </row>
    <row r="23" ht="20" customHeight="1">
      <c r="A23" s="11" t="n">
        <v>13</v>
      </c>
      <c r="B23" s="12" t="n"/>
      <c r="C23" s="11" t="n"/>
      <c r="D23" s="11" t="n"/>
      <c r="E23" s="11" t="n"/>
      <c r="F23" s="13">
        <f>IF(AND(D23&gt;0,E23&gt;0),D23*E23/1000000,"")</f>
        <v/>
      </c>
      <c r="G23" s="11" t="n"/>
      <c r="H23" s="13">
        <f>IF(AND(F23&lt;&gt;"",G23&gt;0),F23*G23,"")</f>
        <v/>
      </c>
      <c r="I23" s="12" t="n"/>
      <c r="J23" s="12" t="n"/>
      <c r="K23" s="14" t="n"/>
      <c r="L23" s="14">
        <f>IF(AND(G23&gt;0,K23&gt;0),G23*K23,"")</f>
        <v/>
      </c>
    </row>
    <row r="24" ht="20" customHeight="1">
      <c r="A24" s="15" t="n">
        <v>14</v>
      </c>
      <c r="B24" s="16" t="n"/>
      <c r="C24" s="15" t="n"/>
      <c r="D24" s="15" t="n"/>
      <c r="E24" s="15" t="n"/>
      <c r="F24" s="17">
        <f>IF(AND(D24&gt;0,E24&gt;0),D24*E24/1000000,"")</f>
        <v/>
      </c>
      <c r="G24" s="15" t="n"/>
      <c r="H24" s="17">
        <f>IF(AND(F24&lt;&gt;"",G24&gt;0),F24*G24,"")</f>
        <v/>
      </c>
      <c r="I24" s="16" t="n"/>
      <c r="J24" s="16" t="n"/>
      <c r="K24" s="18" t="n"/>
      <c r="L24" s="18">
        <f>IF(AND(G24&gt;0,K24&gt;0),G24*K24,"")</f>
        <v/>
      </c>
    </row>
    <row r="25" ht="20" customHeight="1">
      <c r="A25" s="11" t="n">
        <v>15</v>
      </c>
      <c r="B25" s="12" t="n"/>
      <c r="C25" s="11" t="n"/>
      <c r="D25" s="11" t="n"/>
      <c r="E25" s="11" t="n"/>
      <c r="F25" s="13">
        <f>IF(AND(D25&gt;0,E25&gt;0),D25*E25/1000000,"")</f>
        <v/>
      </c>
      <c r="G25" s="11" t="n"/>
      <c r="H25" s="13">
        <f>IF(AND(F25&lt;&gt;"",G25&gt;0),F25*G25,"")</f>
        <v/>
      </c>
      <c r="I25" s="12" t="n"/>
      <c r="J25" s="12" t="n"/>
      <c r="K25" s="14" t="n"/>
      <c r="L25" s="14">
        <f>IF(AND(G25&gt;0,K25&gt;0),G25*K25,"")</f>
        <v/>
      </c>
    </row>
    <row r="27">
      <c r="A27" s="3" t="inlineStr">
        <is>
          <t>Superficie totale</t>
        </is>
      </c>
      <c r="D27" s="19">
        <f>SUM(H11:H25)</f>
        <v/>
      </c>
      <c r="I27" s="20" t="inlineStr">
        <is>
          <t>Totale imponibile</t>
        </is>
      </c>
      <c r="L27" s="14">
        <f>SUM(L11:L25)</f>
        <v/>
      </c>
    </row>
    <row r="28">
      <c r="I28" s="20" t="inlineStr">
        <is>
          <t>Sconto %</t>
        </is>
      </c>
      <c r="K28" s="21" t="n">
        <v>0</v>
      </c>
      <c r="L28" s="14">
        <f>-L27*K28</f>
        <v/>
      </c>
    </row>
    <row r="29">
      <c r="I29" s="20" t="inlineStr">
        <is>
          <t>Imponibile scontato</t>
        </is>
      </c>
      <c r="L29" s="14">
        <f>L27+L28</f>
        <v/>
      </c>
    </row>
    <row r="30">
      <c r="I30" s="20" t="inlineStr">
        <is>
          <t>IVA %</t>
        </is>
      </c>
      <c r="K30" s="21" t="n">
        <v>0.1</v>
      </c>
      <c r="L30" s="14">
        <f>L29*K30</f>
        <v/>
      </c>
    </row>
    <row r="31">
      <c r="I31" s="22" t="inlineStr">
        <is>
          <t>TOTALE</t>
        </is>
      </c>
      <c r="L31" s="23">
        <f>L29+L30</f>
        <v/>
      </c>
    </row>
    <row r="33">
      <c r="A33" s="7" t="inlineStr">
        <is>
          <t>CONDIZIONI</t>
        </is>
      </c>
    </row>
    <row r="34">
      <c r="A34" s="24" t="inlineStr">
        <is>
          <t>• Posa in opera: inclusa / esclusa (cancella la voce che non serve).</t>
        </is>
      </c>
    </row>
    <row r="35">
      <c r="A35" s="24" t="inlineStr">
        <is>
          <t>• Smontaggio e smaltimento dei vecchi serramenti: inclusi / esclusi.</t>
        </is>
      </c>
    </row>
    <row r="36">
      <c r="A36" s="24" t="inlineStr">
        <is>
          <t>• Tempi di consegna: circa ___ settimane dalla conferma d'ordine e dal rilievo misure definitivo.</t>
        </is>
      </c>
    </row>
    <row r="37">
      <c r="A37" s="24" t="inlineStr">
        <is>
          <t>• Pagamento: ___% di acconto alla conferma, saldo a fine lavori.</t>
        </is>
      </c>
    </row>
    <row r="38">
      <c r="A38" s="24" t="inlineStr">
        <is>
          <t>• Le misure indicate sono da confermare con il rilievo in cantiere.</t>
        </is>
      </c>
    </row>
    <row r="39">
      <c r="A39" s="24" t="inlineStr">
        <is>
          <t>• Aliquota IVA da verificare in base al tipo di intervento e all'immobile.</t>
        </is>
      </c>
    </row>
    <row r="41">
      <c r="A41" s="3" t="inlineStr">
        <is>
          <t>Data e firma della ditta</t>
        </is>
      </c>
      <c r="H41" s="3" t="inlineStr">
        <is>
          <t>Firma del cliente per accettazione</t>
        </is>
      </c>
    </row>
    <row r="43">
      <c r="A43" s="9" t="n"/>
      <c r="B43" s="9" t="n"/>
      <c r="C43" s="9" t="n"/>
      <c r="D43" s="9" t="n"/>
      <c r="E43" s="9" t="n"/>
      <c r="H43" s="9" t="n"/>
      <c r="I43" s="9" t="n"/>
      <c r="J43" s="9" t="n"/>
      <c r="K43" s="9" t="n"/>
      <c r="L43" s="9" t="n"/>
    </row>
    <row r="45">
      <c r="A45" s="25" t="inlineStr">
        <is>
          <t>Modello gratuito di SerraDesk - serradesk.it</t>
        </is>
      </c>
    </row>
  </sheetData>
  <mergeCells count="31">
    <mergeCell ref="I30:J30"/>
    <mergeCell ref="I1:L1"/>
    <mergeCell ref="I2:J2"/>
    <mergeCell ref="G6:L6"/>
    <mergeCell ref="K3:L3"/>
    <mergeCell ref="A37:L37"/>
    <mergeCell ref="A27:C27"/>
    <mergeCell ref="H41:L41"/>
    <mergeCell ref="G5:L5"/>
    <mergeCell ref="A33:L33"/>
    <mergeCell ref="A5:F5"/>
    <mergeCell ref="A41:E41"/>
    <mergeCell ref="A8:F8"/>
    <mergeCell ref="I28:J28"/>
    <mergeCell ref="I29:K29"/>
    <mergeCell ref="A35:L35"/>
    <mergeCell ref="I3:J3"/>
    <mergeCell ref="A38:L38"/>
    <mergeCell ref="K2:L2"/>
    <mergeCell ref="I31:K31"/>
    <mergeCell ref="A39:L39"/>
    <mergeCell ref="A34:L34"/>
    <mergeCell ref="I4:J4"/>
    <mergeCell ref="I27:K27"/>
    <mergeCell ref="A45:L45"/>
    <mergeCell ref="A36:L36"/>
    <mergeCell ref="A6:F6"/>
    <mergeCell ref="G8:L8"/>
    <mergeCell ref="K4:L4"/>
    <mergeCell ref="A7:F7"/>
    <mergeCell ref="G7:L7"/>
  </mergeCells>
  <dataValidations count="1">
    <dataValidation sqref="B11 B12 B13 B14 B15 B16 B17 B18 B19 B20 B21 B22 B23 B24 B25" showDropDown="0" showInputMessage="0" showErrorMessage="0" allowBlank="1" type="list">
      <formula1>"Finestra battente,Portafinestra battente,Scorrevole,Alzante scorrevole,Vasistas,Fisso,Persiana,Porta d'ingresso,Tapparella,Cassonetto,Altro"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Come usare questo modello</t>
        </is>
      </c>
    </row>
    <row r="2">
      <c r="A2" s="27" t="inlineStr">
        <is>
          <t>1. Nel foglio Preventivo scrivi i dati della tua ditta al posto di quelli di esempio (righe 1-3).</t>
        </is>
      </c>
    </row>
    <row r="3">
      <c r="A3" s="27" t="inlineStr">
        <is>
          <t>2. Compila cliente e cantiere.</t>
        </is>
      </c>
    </row>
    <row r="4">
      <c r="A4" s="27" t="inlineStr">
        <is>
          <t>3. Per ogni serramento scrivi tipologia, ante, larghezza e altezza in millimetri, quantità e prezzo a pezzo.</t>
        </is>
      </c>
    </row>
    <row r="5">
      <c r="A5" s="27" t="inlineStr">
        <is>
          <t xml:space="preserve">   Metri quadri e totali si calcolano da soli. Le due righe compilate sono solo un esempio: cancellale.</t>
        </is>
      </c>
    </row>
    <row r="6">
      <c r="A6" s="27" t="inlineStr">
        <is>
          <t>4. Nelle celle gialle scrivi lo sconto e l'aliquota IVA.</t>
        </is>
      </c>
    </row>
    <row r="7">
      <c r="A7" s="27" t="inlineStr">
        <is>
          <t>5. Sistema le condizioni, poi File &gt; Stampa o salva in PDF: il foglio sta su una pagina A4 orizzontale.</t>
        </is>
      </c>
    </row>
    <row r="8">
      <c r="A8" s="27" t="inlineStr"/>
    </row>
    <row r="9">
      <c r="A9" s="27" t="inlineStr">
        <is>
          <t>Questo modello non calcola i prezzi dal listino e non disegna le finestre.</t>
        </is>
      </c>
    </row>
    <row r="10">
      <c r="A10" s="28" t="inlineStr">
        <is>
          <t>Se vuoi il preventivo già calcolato, col disegno di ogni serramento e il tuo logo: serradesk.it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2026-10-21T07:16:31Z</dcterms:created>
  <dcterms:modified xmlns:dcterms="http://purl.org/dc/terms/" xmlns:xsi="http://www.w3.org/2001/XMLSchema-instance" xsi:type="dcterms:W3CDTF">2026-10-21T07:16:31Z</dcterms:modified>
</cp:coreProperties>
</file>